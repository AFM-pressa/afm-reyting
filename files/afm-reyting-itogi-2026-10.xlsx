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январь–октябр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0" customWidth="1" min="4" max="4"/>
    <col width="9" customWidth="1" min="5" max="5"/>
    <col width="13" customWidth="1" min="6" max="6"/>
    <col width="9" customWidth="1" min="7" max="7"/>
    <col width="11" customWidth="1" min="8" max="8"/>
    <col width="9" customWidth="1" min="9" max="9"/>
    <col width="11" customWidth="1" min="10" max="10"/>
    <col width="9" customWidth="1" min="11" max="11"/>
  </cols>
  <sheetData>
    <row r="2">
      <c r="A2" s="1" t="inlineStr">
        <is>
          <t>Имиджевая работа — январь–октябрь 2026 (10 мес)</t>
        </is>
      </c>
    </row>
    <row r="4" ht="60" customHeight="1">
      <c r="A4" s="2" t="inlineStr">
        <is>
          <t>№ п/п</t>
        </is>
      </c>
      <c r="B4" s="2" t="inlineStr">
        <is>
          <t>ДЭР</t>
        </is>
      </c>
      <c r="C4" s="2" t="inlineStr">
        <is>
          <t>Население</t>
        </is>
      </c>
      <c r="D4" s="2" t="inlineStr">
        <is>
          <t>Репосты  
пресс-релиза в ведущих ресурсах (1 репост=10 баллов)</t>
        </is>
      </c>
      <c r="E4" s="2" t="n"/>
      <c r="F4" s="2" t="inlineStr">
        <is>
          <t>Просмотры
(за 10 тыс.=1 балл)</t>
        </is>
      </c>
      <c r="G4" s="2" t="n"/>
      <c r="H4" s="2" t="inlineStr">
        <is>
          <t>Комментарии
(за 50 коммент.=1 балл)</t>
        </is>
      </c>
      <c r="I4" s="2" t="n"/>
      <c r="J4" s="2" t="inlineStr">
        <is>
          <t>Общий балл</t>
        </is>
      </c>
      <c r="K4" s="2" t="inlineStr">
        <is>
          <t>МЕСТО</t>
        </is>
      </c>
    </row>
    <row r="5">
      <c r="A5" s="2" t="n"/>
      <c r="B5" s="2" t="n"/>
      <c r="C5" s="2" t="inlineStr">
        <is>
          <t>численность</t>
        </is>
      </c>
      <c r="D5" s="2" t="inlineStr">
        <is>
          <t>кол-во</t>
        </is>
      </c>
      <c r="E5" s="2" t="inlineStr">
        <is>
          <t>балл</t>
        </is>
      </c>
      <c r="F5" s="2" t="inlineStr">
        <is>
          <t>кол-во</t>
        </is>
      </c>
      <c r="G5" s="2" t="inlineStr">
        <is>
          <t>балл</t>
        </is>
      </c>
      <c r="H5" s="2" t="inlineStr">
        <is>
          <t>кол-во</t>
        </is>
      </c>
      <c r="I5" s="2" t="inlineStr">
        <is>
          <t>балл</t>
        </is>
      </c>
      <c r="J5" s="2" t="n"/>
      <c r="K5" s="2" t="n"/>
    </row>
    <row r="6">
      <c r="A6" s="3" t="n">
        <v>1</v>
      </c>
      <c r="B6" s="4" t="inlineStr">
        <is>
          <t>Туркестан</t>
        </is>
      </c>
      <c r="C6" s="5" t="n">
        <v>2147800</v>
      </c>
      <c r="D6" s="3" t="n">
        <v>20</v>
      </c>
      <c r="E6" s="3">
        <f>D6*10</f>
        <v/>
      </c>
      <c r="F6" s="5" t="n">
        <v>7178271</v>
      </c>
      <c r="G6" s="6">
        <f>F6/10000</f>
        <v/>
      </c>
      <c r="H6" s="5" t="n">
        <v>7431</v>
      </c>
      <c r="I6" s="6">
        <f>H6/50</f>
        <v/>
      </c>
      <c r="J6" s="6">
        <f>E6+G6+I6</f>
        <v/>
      </c>
      <c r="K6" s="3" t="n">
        <v>1</v>
      </c>
    </row>
    <row r="7">
      <c r="A7" s="3" t="n">
        <v>2</v>
      </c>
      <c r="B7" s="4" t="inlineStr">
        <is>
          <t>г. Астана</t>
        </is>
      </c>
      <c r="C7" s="5" t="n">
        <v>1601500</v>
      </c>
      <c r="D7" s="3" t="n">
        <v>56</v>
      </c>
      <c r="E7" s="3">
        <f>D7*10</f>
        <v/>
      </c>
      <c r="F7" s="5" t="n">
        <v>2612884</v>
      </c>
      <c r="G7" s="6">
        <f>F7/10000</f>
        <v/>
      </c>
      <c r="H7" s="5" t="n">
        <v>1845</v>
      </c>
      <c r="I7" s="6">
        <f>H7/50</f>
        <v/>
      </c>
      <c r="J7" s="6">
        <f>E7+G7+I7</f>
        <v/>
      </c>
      <c r="K7" s="3" t="n">
        <v>2</v>
      </c>
    </row>
    <row r="8">
      <c r="A8" s="3" t="n">
        <v>3</v>
      </c>
      <c r="B8" s="4" t="inlineStr">
        <is>
          <t>г. Алматы</t>
        </is>
      </c>
      <c r="C8" s="5" t="n">
        <v>2332400</v>
      </c>
      <c r="D8" s="3" t="n">
        <v>42</v>
      </c>
      <c r="E8" s="3">
        <f>D8*10</f>
        <v/>
      </c>
      <c r="F8" s="5" t="n">
        <v>3755860</v>
      </c>
      <c r="G8" s="6">
        <f>F8/10000</f>
        <v/>
      </c>
      <c r="H8" s="5" t="n">
        <v>2110</v>
      </c>
      <c r="I8" s="6">
        <f>H8/50</f>
        <v/>
      </c>
      <c r="J8" s="6">
        <f>E8+G8+I8</f>
        <v/>
      </c>
      <c r="K8" s="3" t="n">
        <v>3</v>
      </c>
    </row>
    <row r="9">
      <c r="A9" s="3" t="n">
        <v>4</v>
      </c>
      <c r="B9" s="4" t="inlineStr">
        <is>
          <t>Мангистау</t>
        </is>
      </c>
      <c r="C9" s="5" t="n">
        <v>815100</v>
      </c>
      <c r="D9" s="3" t="n">
        <v>19</v>
      </c>
      <c r="E9" s="3">
        <f>D9*10</f>
        <v/>
      </c>
      <c r="F9" s="5" t="n">
        <v>5027098</v>
      </c>
      <c r="G9" s="6">
        <f>F9/10000</f>
        <v/>
      </c>
      <c r="H9" s="5" t="n">
        <v>1293</v>
      </c>
      <c r="I9" s="6">
        <f>H9/50</f>
        <v/>
      </c>
      <c r="J9" s="6">
        <f>E9+G9+I9</f>
        <v/>
      </c>
      <c r="K9" s="3" t="n">
        <v>4</v>
      </c>
    </row>
    <row r="10">
      <c r="A10" s="3" t="n">
        <v>5</v>
      </c>
      <c r="B10" s="4" t="inlineStr">
        <is>
          <t>г. Шымкент</t>
        </is>
      </c>
      <c r="C10" s="5" t="n">
        <v>1284100</v>
      </c>
      <c r="D10" s="3" t="n">
        <v>35</v>
      </c>
      <c r="E10" s="3">
        <f>D10*10</f>
        <v/>
      </c>
      <c r="F10" s="5" t="n">
        <v>2165911</v>
      </c>
      <c r="G10" s="6">
        <f>F10/10000</f>
        <v/>
      </c>
      <c r="H10" s="5" t="n">
        <v>960</v>
      </c>
      <c r="I10" s="6">
        <f>H10/50</f>
        <v/>
      </c>
      <c r="J10" s="6">
        <f>E10+G10+I10</f>
        <v/>
      </c>
      <c r="K10" s="3" t="n">
        <v>5</v>
      </c>
    </row>
    <row r="11">
      <c r="A11" s="3" t="n">
        <v>6</v>
      </c>
      <c r="B11" s="4" t="inlineStr">
        <is>
          <t>ВКО</t>
        </is>
      </c>
      <c r="C11" s="5" t="n">
        <v>720600</v>
      </c>
      <c r="D11" s="3" t="n">
        <v>28</v>
      </c>
      <c r="E11" s="3">
        <f>D11*10</f>
        <v/>
      </c>
      <c r="F11" s="5" t="n">
        <v>2259469</v>
      </c>
      <c r="G11" s="6">
        <f>F11/10000</f>
        <v/>
      </c>
      <c r="H11" s="5" t="n">
        <v>1177</v>
      </c>
      <c r="I11" s="6">
        <f>H11/50</f>
        <v/>
      </c>
      <c r="J11" s="6">
        <f>E11+G11+I11</f>
        <v/>
      </c>
      <c r="K11" s="3" t="n">
        <v>6</v>
      </c>
    </row>
    <row r="12">
      <c r="A12" s="3" t="n">
        <v>7</v>
      </c>
      <c r="B12" s="4" t="inlineStr">
        <is>
          <t>Кызылорда</t>
        </is>
      </c>
      <c r="C12" s="5" t="n">
        <v>846100</v>
      </c>
      <c r="D12" s="3" t="n">
        <v>15</v>
      </c>
      <c r="E12" s="3">
        <f>D12*10</f>
        <v/>
      </c>
      <c r="F12" s="5" t="n">
        <v>3221763</v>
      </c>
      <c r="G12" s="6">
        <f>F12/10000</f>
        <v/>
      </c>
      <c r="H12" s="5" t="n">
        <v>1232</v>
      </c>
      <c r="I12" s="6">
        <f>H12/50</f>
        <v/>
      </c>
      <c r="J12" s="6">
        <f>E12+G12+I12</f>
        <v/>
      </c>
      <c r="K12" s="3" t="n">
        <v>7</v>
      </c>
    </row>
    <row r="13">
      <c r="A13" s="3" t="n">
        <v>8</v>
      </c>
      <c r="B13" s="4" t="inlineStr">
        <is>
          <t>Павлодар</t>
        </is>
      </c>
      <c r="C13" s="5" t="n">
        <v>747100</v>
      </c>
      <c r="D13" s="3" t="n">
        <v>11</v>
      </c>
      <c r="E13" s="3">
        <f>D13*10</f>
        <v/>
      </c>
      <c r="F13" s="5" t="n">
        <v>3151523</v>
      </c>
      <c r="G13" s="6">
        <f>F13/10000</f>
        <v/>
      </c>
      <c r="H13" s="5" t="n">
        <v>2944</v>
      </c>
      <c r="I13" s="6">
        <f>H13/50</f>
        <v/>
      </c>
      <c r="J13" s="6">
        <f>E13+G13+I13</f>
        <v/>
      </c>
      <c r="K13" s="3" t="n">
        <v>8</v>
      </c>
    </row>
    <row r="14">
      <c r="A14" s="3" t="n">
        <v>9</v>
      </c>
      <c r="B14" s="4" t="inlineStr">
        <is>
          <t>Алмат. обл.</t>
        </is>
      </c>
      <c r="C14" s="5" t="n">
        <v>1583500</v>
      </c>
      <c r="D14" s="3" t="n">
        <v>29</v>
      </c>
      <c r="E14" s="3">
        <f>D14*10</f>
        <v/>
      </c>
      <c r="F14" s="5" t="n">
        <v>1221762</v>
      </c>
      <c r="G14" s="6">
        <f>F14/10000</f>
        <v/>
      </c>
      <c r="H14" s="5" t="n">
        <v>2014</v>
      </c>
      <c r="I14" s="6">
        <f>H14/50</f>
        <v/>
      </c>
      <c r="J14" s="6">
        <f>E14+G14+I14</f>
        <v/>
      </c>
      <c r="K14" s="3" t="n">
        <v>9</v>
      </c>
    </row>
    <row r="15">
      <c r="A15" s="3" t="n">
        <v>10</v>
      </c>
      <c r="B15" s="4" t="inlineStr">
        <is>
          <t>ЗКО</t>
        </is>
      </c>
      <c r="C15" s="5" t="n">
        <v>695800</v>
      </c>
      <c r="D15" s="3" t="n">
        <v>11</v>
      </c>
      <c r="E15" s="3">
        <f>D15*10</f>
        <v/>
      </c>
      <c r="F15" s="5" t="n">
        <v>1719819</v>
      </c>
      <c r="G15" s="6">
        <f>F15/10000</f>
        <v/>
      </c>
      <c r="H15" s="5" t="n">
        <v>2766</v>
      </c>
      <c r="I15" s="6">
        <f>H15/50</f>
        <v/>
      </c>
      <c r="J15" s="6">
        <f>E15+G15+I15</f>
        <v/>
      </c>
      <c r="K15" s="3" t="n">
        <v>10</v>
      </c>
    </row>
    <row r="16">
      <c r="A16" s="3" t="n">
        <v>11</v>
      </c>
      <c r="B16" s="4" t="inlineStr">
        <is>
          <t>СКО</t>
        </is>
      </c>
      <c r="C16" s="5" t="n">
        <v>516700</v>
      </c>
      <c r="D16" s="3" t="n">
        <v>13</v>
      </c>
      <c r="E16" s="3">
        <f>D16*10</f>
        <v/>
      </c>
      <c r="F16" s="5" t="n">
        <v>1545180</v>
      </c>
      <c r="G16" s="6">
        <f>F16/10000</f>
        <v/>
      </c>
      <c r="H16" s="5" t="n">
        <v>2066</v>
      </c>
      <c r="I16" s="6">
        <f>H16/50</f>
        <v/>
      </c>
      <c r="J16" s="6">
        <f>E16+G16+I16</f>
        <v/>
      </c>
      <c r="K16" s="3" t="n">
        <v>11</v>
      </c>
    </row>
    <row r="17">
      <c r="A17" s="3" t="n">
        <v>12</v>
      </c>
      <c r="B17" s="4" t="inlineStr">
        <is>
          <t>Абай</t>
        </is>
      </c>
      <c r="C17" s="5" t="n">
        <v>598000</v>
      </c>
      <c r="D17" s="3" t="n">
        <v>6</v>
      </c>
      <c r="E17" s="3">
        <f>D17*10</f>
        <v/>
      </c>
      <c r="F17" s="5" t="n">
        <v>2328640</v>
      </c>
      <c r="G17" s="6">
        <f>F17/10000</f>
        <v/>
      </c>
      <c r="H17" s="5" t="n">
        <v>1491</v>
      </c>
      <c r="I17" s="6">
        <f>H17/50</f>
        <v/>
      </c>
      <c r="J17" s="6">
        <f>E17+G17+I17</f>
        <v/>
      </c>
      <c r="K17" s="3" t="n">
        <v>12</v>
      </c>
    </row>
    <row r="18">
      <c r="A18" s="3" t="n">
        <v>13</v>
      </c>
      <c r="B18" s="4" t="inlineStr">
        <is>
          <t>Караганда</t>
        </is>
      </c>
      <c r="C18" s="5" t="n">
        <v>1132200</v>
      </c>
      <c r="D18" s="3" t="n">
        <v>16</v>
      </c>
      <c r="E18" s="3">
        <f>D18*10</f>
        <v/>
      </c>
      <c r="F18" s="5" t="n">
        <v>1093250</v>
      </c>
      <c r="G18" s="6">
        <f>F18/10000</f>
        <v/>
      </c>
      <c r="H18" s="5" t="n">
        <v>1457</v>
      </c>
      <c r="I18" s="6">
        <f>H18/50</f>
        <v/>
      </c>
      <c r="J18" s="6">
        <f>E18+G18+I18</f>
        <v/>
      </c>
      <c r="K18" s="3" t="n">
        <v>13</v>
      </c>
    </row>
    <row r="19">
      <c r="A19" s="3" t="n">
        <v>14</v>
      </c>
      <c r="B19" s="4" t="inlineStr">
        <is>
          <t>Костанай</t>
        </is>
      </c>
      <c r="C19" s="5" t="n">
        <v>822700</v>
      </c>
      <c r="D19" s="3" t="n">
        <v>7</v>
      </c>
      <c r="E19" s="3">
        <f>D19*10</f>
        <v/>
      </c>
      <c r="F19" s="5" t="n">
        <v>2022286</v>
      </c>
      <c r="G19" s="6">
        <f>F19/10000</f>
        <v/>
      </c>
      <c r="H19" s="5" t="n">
        <v>692</v>
      </c>
      <c r="I19" s="6">
        <f>H19/50</f>
        <v/>
      </c>
      <c r="J19" s="6">
        <f>E19+G19+I19</f>
        <v/>
      </c>
      <c r="K19" s="3" t="n">
        <v>14</v>
      </c>
    </row>
    <row r="20">
      <c r="A20" s="3" t="n">
        <v>15</v>
      </c>
      <c r="B20" s="4" t="inlineStr">
        <is>
          <t>Акмола</t>
        </is>
      </c>
      <c r="C20" s="5" t="n">
        <v>788200</v>
      </c>
      <c r="D20" s="3" t="n">
        <v>21</v>
      </c>
      <c r="E20" s="3">
        <f>D20*10</f>
        <v/>
      </c>
      <c r="F20" s="5" t="n">
        <v>417558</v>
      </c>
      <c r="G20" s="6">
        <f>F20/10000</f>
        <v/>
      </c>
      <c r="H20" s="5" t="n">
        <v>407</v>
      </c>
      <c r="I20" s="6">
        <f>H20/50</f>
        <v/>
      </c>
      <c r="J20" s="6">
        <f>E20+G20+I20</f>
        <v/>
      </c>
      <c r="K20" s="3" t="n">
        <v>15</v>
      </c>
    </row>
    <row r="21">
      <c r="A21" s="3" t="n">
        <v>16</v>
      </c>
      <c r="B21" s="4" t="inlineStr">
        <is>
          <t>Жамбыл</t>
        </is>
      </c>
      <c r="C21" s="5" t="n">
        <v>1217700</v>
      </c>
      <c r="D21" s="3" t="n">
        <v>6</v>
      </c>
      <c r="E21" s="3">
        <f>D21*10</f>
        <v/>
      </c>
      <c r="F21" s="5" t="n">
        <v>1172376</v>
      </c>
      <c r="G21" s="6">
        <f>F21/10000</f>
        <v/>
      </c>
      <c r="H21" s="5" t="n">
        <v>602</v>
      </c>
      <c r="I21" s="6">
        <f>H21/50</f>
        <v/>
      </c>
      <c r="J21" s="6">
        <f>E21+G21+I21</f>
        <v/>
      </c>
      <c r="K21" s="3" t="n">
        <v>16</v>
      </c>
    </row>
    <row r="22">
      <c r="A22" s="3" t="n">
        <v>17</v>
      </c>
      <c r="B22" s="4" t="inlineStr">
        <is>
          <t>Жетісу</t>
        </is>
      </c>
      <c r="C22" s="5" t="n">
        <v>689600</v>
      </c>
      <c r="D22" s="3" t="n">
        <v>5</v>
      </c>
      <c r="E22" s="3">
        <f>D22*10</f>
        <v/>
      </c>
      <c r="F22" s="5" t="n">
        <v>1249791</v>
      </c>
      <c r="G22" s="6">
        <f>F22/10000</f>
        <v/>
      </c>
      <c r="H22" s="5" t="n">
        <v>637</v>
      </c>
      <c r="I22" s="6">
        <f>H22/50</f>
        <v/>
      </c>
      <c r="J22" s="6">
        <f>E22+G22+I22</f>
        <v/>
      </c>
      <c r="K22" s="3" t="n">
        <v>17</v>
      </c>
    </row>
    <row r="23">
      <c r="A23" s="3" t="n">
        <v>18</v>
      </c>
      <c r="B23" s="4" t="inlineStr">
        <is>
          <t>Актобе</t>
        </is>
      </c>
      <c r="C23" s="5" t="n">
        <v>954000</v>
      </c>
      <c r="D23" s="3" t="n">
        <v>12</v>
      </c>
      <c r="E23" s="3">
        <f>D23*10</f>
        <v/>
      </c>
      <c r="F23" s="5" t="n">
        <v>352158</v>
      </c>
      <c r="G23" s="6">
        <f>F23/10000</f>
        <v/>
      </c>
      <c r="H23" s="5" t="n">
        <v>607</v>
      </c>
      <c r="I23" s="6">
        <f>H23/50</f>
        <v/>
      </c>
      <c r="J23" s="6">
        <f>E23+G23+I23</f>
        <v/>
      </c>
      <c r="K23" s="3" t="n">
        <v>18</v>
      </c>
    </row>
    <row r="24">
      <c r="A24" s="3" t="n">
        <v>19</v>
      </c>
      <c r="B24" s="4" t="inlineStr">
        <is>
          <t>Атырау</t>
        </is>
      </c>
      <c r="C24" s="5" t="n">
        <v>713900</v>
      </c>
      <c r="D24" s="3" t="n">
        <v>3</v>
      </c>
      <c r="E24" s="3">
        <f>D24*10</f>
        <v/>
      </c>
      <c r="F24" s="5" t="n">
        <v>1094178</v>
      </c>
      <c r="G24" s="6">
        <f>F24/10000</f>
        <v/>
      </c>
      <c r="H24" s="5" t="n">
        <v>210</v>
      </c>
      <c r="I24" s="6">
        <f>H24/50</f>
        <v/>
      </c>
      <c r="J24" s="6">
        <f>E24+G24+I24</f>
        <v/>
      </c>
      <c r="K24" s="3" t="n">
        <v>19</v>
      </c>
    </row>
    <row r="25">
      <c r="A25" s="3" t="n">
        <v>20</v>
      </c>
      <c r="B25" s="4" t="inlineStr">
        <is>
          <t>Ұлытау</t>
        </is>
      </c>
      <c r="C25" s="5" t="n">
        <v>219700</v>
      </c>
      <c r="D25" s="3" t="n">
        <v>8</v>
      </c>
      <c r="E25" s="3">
        <f>D25*10</f>
        <v/>
      </c>
      <c r="F25" s="5" t="n">
        <v>198190</v>
      </c>
      <c r="G25" s="6">
        <f>F25/10000</f>
        <v/>
      </c>
      <c r="H25" s="5" t="n">
        <v>207</v>
      </c>
      <c r="I25" s="6">
        <f>H25/50</f>
        <v/>
      </c>
      <c r="J25" s="6">
        <f>E25+G25+I25</f>
        <v/>
      </c>
      <c r="K25" s="3" t="n">
        <v>20</v>
      </c>
    </row>
    <row r="26">
      <c r="B26" t="inlineStr">
        <is>
          <t>БАЛЛЫ</t>
        </is>
      </c>
      <c r="D26" t="n">
        <v>10</v>
      </c>
      <c r="F26" t="n">
        <v>1</v>
      </c>
      <c r="H26" t="n">
        <v>1</v>
      </c>
    </row>
  </sheetData>
  <mergeCells count="11">
    <mergeCell ref="F4:G4"/>
    <mergeCell ref="B4:B5"/>
    <mergeCell ref="A4:A5"/>
    <mergeCell ref="J4:J5"/>
    <mergeCell ref="A2:K2"/>
    <mergeCell ref="K4:K5"/>
    <mergeCell ref="D4:E4"/>
    <mergeCell ref="H4:I4"/>
    <mergeCell ref="F26:G26"/>
    <mergeCell ref="D26:E26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2026-10-30T04:48:34Z</dcterms:created>
  <dcterms:modified xmlns:dcterms="http://purl.org/dc/terms/" xmlns:xsi="http://www.w3.org/2001/XMLSchema-instance" xsi:type="dcterms:W3CDTF">2026-10-30T04:48:34Z</dcterms:modified>
</cp:coreProperties>
</file>